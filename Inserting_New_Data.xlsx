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Insert_Data" sheetId="2" state="visible" r:id="rId4"/>
    <sheet name="Lists" sheetId="3" state="visible" r:id="rId5"/>
    <sheet name="Chec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Asset Tag is the coalesce key. Must be unique, trimmed, and not blank.</t>
        </r>
      </text>
    </comment>
    <comment ref="C2" authorId="0">
      <text>
        <r>
          <rPr>
            <sz val="10"/>
            <rFont val="Arial"/>
            <family val="2"/>
          </rPr>
          <t xml:space="preserve">Category must match a value on the Lists sheet exactly.</t>
        </r>
      </text>
    </comment>
  </commentList>
</comments>
</file>

<file path=xl/sharedStrings.xml><?xml version="1.0" encoding="utf-8"?>
<sst xmlns="http://schemas.openxmlformats.org/spreadsheetml/2006/main" count="95" uniqueCount="79">
  <si>
    <t xml:space="preserve">Inserting New Asset Data: Import Guide</t>
  </si>
  <si>
    <t xml:space="preserve">Purpose: this file holds new asset records to be loaded into u_asset_inventory through the Milestone 3 transform. Every Asset Tag here is new, so the transform should show Insert for each row.</t>
  </si>
  <si>
    <t xml:space="preserve">How to use this workbook</t>
  </si>
  <si>
    <t xml:space="preserve">1.</t>
  </si>
  <si>
    <t xml:space="preserve">Enter or paste new records on the Insert_Data sheet, starting in row 2. Do not change the header row.</t>
  </si>
  <si>
    <t xml:space="preserve">2.</t>
  </si>
  <si>
    <t xml:space="preserve">Keep the column order exactly: Asset Tag, Asset Name, Category, Location, Purchase Date, Cost, Status.</t>
  </si>
  <si>
    <t xml:space="preserve">3.</t>
  </si>
  <si>
    <t xml:space="preserve">Choose Category and Status from the dropdowns. The allowed values are listed on the Lists sheet.</t>
  </si>
  <si>
    <t xml:space="preserve">4.</t>
  </si>
  <si>
    <t xml:space="preserve">Enter Purchase Date as a real date, and Cost as a plain number with no currency symbol.</t>
  </si>
  <si>
    <t xml:space="preserve">5.</t>
  </si>
  <si>
    <t xml:space="preserve">Open the Checks sheet and confirm that the overall status reads READY TO IMPORT before saving.</t>
  </si>
  <si>
    <t xml:space="preserve">6.</t>
  </si>
  <si>
    <t xml:space="preserve">Save as .xlsx, then load through System Import Sets &gt; Load Data as described in the Milestone 2 document.</t>
  </si>
  <si>
    <t xml:space="preserve">Colour legend</t>
  </si>
  <si>
    <t xml:space="preserve">Blue text: data values entered by hand. Edit these cells freely.</t>
  </si>
  <si>
    <t xml:space="preserve">Black text: labels, headers and formulas. Do not overwrite formulas on the Checks sheet.</t>
  </si>
  <si>
    <t xml:space="preserve">Yellow fill: cells that are expected to be edited when new rows are added.</t>
  </si>
  <si>
    <t xml:space="preserve">Rules that protect against duplicates</t>
  </si>
  <si>
    <t xml:space="preserve">a.</t>
  </si>
  <si>
    <t xml:space="preserve">Asset Tag is the coalesce key. It must be unique within the file and must match no existing record that should be inserted as new.</t>
  </si>
  <si>
    <t xml:space="preserve">b.</t>
  </si>
  <si>
    <t xml:space="preserve">Remove leading and trailing spaces from Asset Tag. A trailing space makes AST-1005 and AST-1005 different keys.</t>
  </si>
  <si>
    <t xml:space="preserve">c.</t>
  </si>
  <si>
    <t xml:space="preserve">Do not leave Asset Tag blank. A row without a key cannot be matched, so it may be created again on every load.</t>
  </si>
  <si>
    <t xml:space="preserve">d.</t>
  </si>
  <si>
    <t xml:space="preserve">If an Asset Tag already exists in the table, it should be listed in an update file, not here. This file is for new assets only.</t>
  </si>
  <si>
    <t xml:space="preserve">Example of the expected format: row 2 shows AST-1005, Lenovo ThinkPad T14, Laptop, Madurai Lab 3, 2025-08-18, 62500, In Use.</t>
  </si>
  <si>
    <t xml:space="preserve">Asset Tag</t>
  </si>
  <si>
    <t xml:space="preserve">Asset Name</t>
  </si>
  <si>
    <t xml:space="preserve">Category</t>
  </si>
  <si>
    <t xml:space="preserve">Location</t>
  </si>
  <si>
    <t xml:space="preserve">Purchase Date</t>
  </si>
  <si>
    <t xml:space="preserve">Cost</t>
  </si>
  <si>
    <t xml:space="preserve">Status</t>
  </si>
  <si>
    <t xml:space="preserve">AST-1005</t>
  </si>
  <si>
    <t xml:space="preserve">Lenovo ThinkPad T14</t>
  </si>
  <si>
    <t xml:space="preserve">Laptop</t>
  </si>
  <si>
    <t xml:space="preserve">Madurai Lab 3</t>
  </si>
  <si>
    <t xml:space="preserve">In Use</t>
  </si>
  <si>
    <t xml:space="preserve">AST-1006</t>
  </si>
  <si>
    <t xml:space="preserve">Dell OptiPlex 3090</t>
  </si>
  <si>
    <t xml:space="preserve">Desktop</t>
  </si>
  <si>
    <t xml:space="preserve">AST-1007</t>
  </si>
  <si>
    <t xml:space="preserve">Netgear GS308 Switch</t>
  </si>
  <si>
    <t xml:space="preserve">Network</t>
  </si>
  <si>
    <t xml:space="preserve">Server Room</t>
  </si>
  <si>
    <t xml:space="preserve">Active</t>
  </si>
  <si>
    <t xml:space="preserve">AST-1008</t>
  </si>
  <si>
    <t xml:space="preserve">BenQ MH560 Projector</t>
  </si>
  <si>
    <t xml:space="preserve">Projector</t>
  </si>
  <si>
    <t xml:space="preserve">Seminar Hall</t>
  </si>
  <si>
    <t xml:space="preserve">In Storage</t>
  </si>
  <si>
    <t xml:space="preserve">AST-1009</t>
  </si>
  <si>
    <t xml:space="preserve">HP LaserJet M404dn</t>
  </si>
  <si>
    <t xml:space="preserve">Printer</t>
  </si>
  <si>
    <t xml:space="preserve">Admin Office</t>
  </si>
  <si>
    <t xml:space="preserve">AST-1010</t>
  </si>
  <si>
    <t xml:space="preserve">Apple iPad 10th Gen</t>
  </si>
  <si>
    <t xml:space="preserve">Library</t>
  </si>
  <si>
    <t xml:space="preserve">Retired</t>
  </si>
  <si>
    <t xml:space="preserve">These values must match the Choice list values on u_asset_inventory exactly.</t>
  </si>
  <si>
    <t xml:space="preserve">Pre-import checks (formulas recalculate automatically)</t>
  </si>
  <si>
    <t xml:space="preserve">Check</t>
  </si>
  <si>
    <t xml:space="preserve">Result</t>
  </si>
  <si>
    <t xml:space="preserve">Expected</t>
  </si>
  <si>
    <t xml:space="preserve">Data rows in file</t>
  </si>
  <si>
    <t xml:space="preserve">Blank Asset Tags</t>
  </si>
  <si>
    <t xml:space="preserve">Duplicate Asset Tags in file</t>
  </si>
  <si>
    <t xml:space="preserve">Asset Tags with spaces</t>
  </si>
  <si>
    <t xml:space="preserve">Categories not on list</t>
  </si>
  <si>
    <t xml:space="preserve">Statuses not on list</t>
  </si>
  <si>
    <t xml:space="preserve">Rows missing a Purchase Date</t>
  </si>
  <si>
    <t xml:space="preserve">Total cost of rows in file</t>
  </si>
  <si>
    <t xml:space="preserve">For reference</t>
  </si>
  <si>
    <t xml:space="preserve">Info</t>
  </si>
  <si>
    <t xml:space="preserve">Overall status</t>
  </si>
  <si>
    <t xml:space="preserve">Expected values in column C are the agreed targets for this file. Change them only if the source data changes.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</si>
</sst>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</cols>
  <sheetData>
    <row r="1" customFormat="false" ht="17.35" hidden="false" customHeight="false" outlineLevel="0" collapsed="false">
      <c r="B1" s="1" t="s">
        <v>0</v>
      </c>
    </row>
    <row r="3" customFormat="false" ht="23.85" hidden="false" customHeight="false" outlineLevel="0" collapsed="false">
      <c r="A3" s="2"/>
      <c r="B3" s="3" t="s">
        <v>1</v>
      </c>
    </row>
    <row r="4" customFormat="false" ht="15" hidden="false" customHeight="false" outlineLevel="0" collapsed="false">
      <c r="A4" s="2"/>
      <c r="B4" s="3"/>
    </row>
    <row r="5" customFormat="false" ht="15" hidden="false" customHeight="false" outlineLevel="0" collapsed="false">
      <c r="A5" s="2"/>
      <c r="B5" s="4" t="s">
        <v>2</v>
      </c>
    </row>
    <row r="6" customFormat="false" ht="15" hidden="false" customHeight="false" outlineLevel="0" collapsed="false">
      <c r="A6" s="2" t="s">
        <v>3</v>
      </c>
      <c r="B6" s="3" t="s">
        <v>4</v>
      </c>
    </row>
    <row r="7" customFormat="false" ht="15" hidden="false" customHeight="false" outlineLevel="0" collapsed="false">
      <c r="A7" s="2" t="s">
        <v>5</v>
      </c>
      <c r="B7" s="3" t="s">
        <v>6</v>
      </c>
    </row>
    <row r="8" customFormat="false" ht="15" hidden="false" customHeight="false" outlineLevel="0" collapsed="false">
      <c r="A8" s="2" t="s">
        <v>7</v>
      </c>
      <c r="B8" s="3" t="s">
        <v>8</v>
      </c>
    </row>
    <row r="9" customFormat="false" ht="15" hidden="false" customHeight="false" outlineLevel="0" collapsed="false">
      <c r="A9" s="2" t="s">
        <v>9</v>
      </c>
      <c r="B9" s="3" t="s">
        <v>10</v>
      </c>
    </row>
    <row r="10" customFormat="false" ht="15" hidden="false" customHeight="false" outlineLevel="0" collapsed="false">
      <c r="A10" s="2" t="s">
        <v>11</v>
      </c>
      <c r="B10" s="3" t="s">
        <v>12</v>
      </c>
    </row>
    <row r="11" customFormat="false" ht="15" hidden="false" customHeight="false" outlineLevel="0" collapsed="false">
      <c r="A11" s="2" t="s">
        <v>13</v>
      </c>
      <c r="B11" s="3" t="s">
        <v>14</v>
      </c>
    </row>
    <row r="12" customFormat="false" ht="15" hidden="false" customHeight="false" outlineLevel="0" collapsed="false">
      <c r="A12" s="2"/>
      <c r="B12" s="3"/>
    </row>
    <row r="13" customFormat="false" ht="15" hidden="false" customHeight="false" outlineLevel="0" collapsed="false">
      <c r="A13" s="2"/>
      <c r="B13" s="4" t="s">
        <v>15</v>
      </c>
    </row>
    <row r="14" customFormat="false" ht="15" hidden="false" customHeight="false" outlineLevel="0" collapsed="false">
      <c r="A14" s="2"/>
      <c r="B14" s="3" t="s">
        <v>16</v>
      </c>
    </row>
    <row r="15" customFormat="false" ht="15" hidden="false" customHeight="false" outlineLevel="0" collapsed="false">
      <c r="A15" s="2"/>
      <c r="B15" s="3" t="s">
        <v>17</v>
      </c>
    </row>
    <row r="16" customFormat="false" ht="15" hidden="false" customHeight="false" outlineLevel="0" collapsed="false">
      <c r="A16" s="5"/>
      <c r="B16" s="3" t="s">
        <v>18</v>
      </c>
    </row>
    <row r="17" customFormat="false" ht="15" hidden="false" customHeight="false" outlineLevel="0" collapsed="false">
      <c r="A17" s="2"/>
      <c r="B17" s="3"/>
    </row>
    <row r="18" customFormat="false" ht="15" hidden="false" customHeight="false" outlineLevel="0" collapsed="false">
      <c r="A18" s="2"/>
      <c r="B18" s="4" t="s">
        <v>19</v>
      </c>
    </row>
    <row r="19" customFormat="false" ht="23.85" hidden="false" customHeight="false" outlineLevel="0" collapsed="false">
      <c r="A19" s="2" t="s">
        <v>20</v>
      </c>
      <c r="B19" s="3" t="s">
        <v>21</v>
      </c>
    </row>
    <row r="20" customFormat="false" ht="15" hidden="false" customHeight="false" outlineLevel="0" collapsed="false">
      <c r="A20" s="2" t="s">
        <v>22</v>
      </c>
      <c r="B20" s="3" t="s">
        <v>23</v>
      </c>
    </row>
    <row r="21" customFormat="false" ht="15" hidden="false" customHeight="false" outlineLevel="0" collapsed="false">
      <c r="A21" s="2" t="s">
        <v>24</v>
      </c>
      <c r="B21" s="3" t="s">
        <v>25</v>
      </c>
    </row>
    <row r="22" customFormat="false" ht="15" hidden="false" customHeight="false" outlineLevel="0" collapsed="false">
      <c r="A22" s="2" t="s">
        <v>26</v>
      </c>
      <c r="B22" s="3" t="s">
        <v>27</v>
      </c>
    </row>
    <row r="23" customFormat="false" ht="15" hidden="false" customHeight="false" outlineLevel="0" collapsed="false">
      <c r="A23" s="2"/>
      <c r="B23" s="3"/>
    </row>
    <row r="24" customFormat="false" ht="23.85" hidden="false" customHeight="false" outlineLevel="0" collapsed="false">
      <c r="A24" s="2"/>
      <c r="B24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30" hidden="false" customHeight="true" outlineLevel="0" collapsed="false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</row>
    <row r="2" customFormat="false" ht="15" hidden="false" customHeight="false" outlineLevel="0" collapsed="false">
      <c r="A2" s="7" t="s">
        <v>36</v>
      </c>
      <c r="B2" s="7" t="s">
        <v>37</v>
      </c>
      <c r="C2" s="7" t="s">
        <v>38</v>
      </c>
      <c r="D2" s="7" t="s">
        <v>39</v>
      </c>
      <c r="E2" s="8" t="n">
        <v>45887</v>
      </c>
      <c r="F2" s="9" t="n">
        <v>62500</v>
      </c>
      <c r="G2" s="7" t="s">
        <v>40</v>
      </c>
    </row>
    <row r="3" customFormat="false" ht="15" hidden="false" customHeight="false" outlineLevel="0" collapsed="false">
      <c r="A3" s="7" t="s">
        <v>41</v>
      </c>
      <c r="B3" s="7" t="s">
        <v>42</v>
      </c>
      <c r="C3" s="7" t="s">
        <v>43</v>
      </c>
      <c r="D3" s="7" t="s">
        <v>39</v>
      </c>
      <c r="E3" s="8" t="n">
        <v>45887</v>
      </c>
      <c r="F3" s="9" t="n">
        <v>45800</v>
      </c>
      <c r="G3" s="7" t="s">
        <v>40</v>
      </c>
    </row>
    <row r="4" customFormat="false" ht="15" hidden="false" customHeight="false" outlineLevel="0" collapsed="false">
      <c r="A4" s="7" t="s">
        <v>44</v>
      </c>
      <c r="B4" s="7" t="s">
        <v>45</v>
      </c>
      <c r="C4" s="7" t="s">
        <v>46</v>
      </c>
      <c r="D4" s="7" t="s">
        <v>47</v>
      </c>
      <c r="E4" s="8" t="n">
        <v>45902</v>
      </c>
      <c r="F4" s="9" t="n">
        <v>6900</v>
      </c>
      <c r="G4" s="7" t="s">
        <v>48</v>
      </c>
    </row>
    <row r="5" customFormat="false" ht="15" hidden="false" customHeight="false" outlineLevel="0" collapsed="false">
      <c r="A5" s="7" t="s">
        <v>49</v>
      </c>
      <c r="B5" s="7" t="s">
        <v>50</v>
      </c>
      <c r="C5" s="7" t="s">
        <v>51</v>
      </c>
      <c r="D5" s="7" t="s">
        <v>52</v>
      </c>
      <c r="E5" s="8" t="n">
        <v>45910</v>
      </c>
      <c r="F5" s="9" t="n">
        <v>52000</v>
      </c>
      <c r="G5" s="7" t="s">
        <v>53</v>
      </c>
    </row>
    <row r="6" customFormat="false" ht="15" hidden="false" customHeight="false" outlineLevel="0" collapsed="false">
      <c r="A6" s="7" t="s">
        <v>54</v>
      </c>
      <c r="B6" s="7" t="s">
        <v>55</v>
      </c>
      <c r="C6" s="7" t="s">
        <v>56</v>
      </c>
      <c r="D6" s="7" t="s">
        <v>57</v>
      </c>
      <c r="E6" s="8" t="n">
        <v>45931</v>
      </c>
      <c r="F6" s="9" t="n">
        <v>28500</v>
      </c>
      <c r="G6" s="7" t="s">
        <v>40</v>
      </c>
    </row>
    <row r="7" customFormat="false" ht="15" hidden="false" customHeight="false" outlineLevel="0" collapsed="false">
      <c r="A7" s="7" t="s">
        <v>58</v>
      </c>
      <c r="B7" s="7" t="s">
        <v>59</v>
      </c>
      <c r="C7" s="7" t="s">
        <v>38</v>
      </c>
      <c r="D7" s="7" t="s">
        <v>60</v>
      </c>
      <c r="E7" s="8" t="n">
        <v>45936</v>
      </c>
      <c r="F7" s="9" t="n">
        <v>38900</v>
      </c>
      <c r="G7" s="7" t="s">
        <v>53</v>
      </c>
    </row>
    <row r="8" customFormat="false" ht="15" hidden="false" customHeight="false" outlineLevel="0" collapsed="false">
      <c r="A8" s="10"/>
      <c r="B8" s="10"/>
      <c r="C8" s="10"/>
      <c r="D8" s="10"/>
      <c r="E8" s="11"/>
      <c r="F8" s="12"/>
      <c r="G8" s="10"/>
    </row>
    <row r="9" customFormat="false" ht="15" hidden="false" customHeight="false" outlineLevel="0" collapsed="false">
      <c r="A9" s="10"/>
      <c r="B9" s="10"/>
      <c r="C9" s="10"/>
      <c r="D9" s="10"/>
      <c r="E9" s="11"/>
      <c r="F9" s="12"/>
      <c r="G9" s="10"/>
    </row>
    <row r="10" customFormat="false" ht="15" hidden="false" customHeight="false" outlineLevel="0" collapsed="false">
      <c r="A10" s="10"/>
      <c r="B10" s="10"/>
      <c r="C10" s="10"/>
      <c r="D10" s="10"/>
      <c r="E10" s="11"/>
      <c r="F10" s="12"/>
      <c r="G10" s="10"/>
    </row>
    <row r="11" customFormat="false" ht="15" hidden="false" customHeight="false" outlineLevel="0" collapsed="false">
      <c r="A11" s="10"/>
      <c r="B11" s="10"/>
      <c r="C11" s="10"/>
      <c r="D11" s="10"/>
      <c r="E11" s="11"/>
      <c r="F11" s="12"/>
      <c r="G11" s="10"/>
    </row>
    <row r="12" customFormat="false" ht="15" hidden="false" customHeight="false" outlineLevel="0" collapsed="false">
      <c r="A12" s="10"/>
      <c r="B12" s="10"/>
      <c r="C12" s="10"/>
      <c r="D12" s="10"/>
      <c r="E12" s="11"/>
      <c r="F12" s="12"/>
      <c r="G12" s="10"/>
    </row>
    <row r="13" customFormat="false" ht="15" hidden="false" customHeight="false" outlineLevel="0" collapsed="false">
      <c r="A13" s="10"/>
      <c r="B13" s="10"/>
      <c r="C13" s="10"/>
      <c r="D13" s="10"/>
      <c r="E13" s="11"/>
      <c r="F13" s="12"/>
      <c r="G13" s="10"/>
    </row>
    <row r="14" customFormat="false" ht="15" hidden="false" customHeight="false" outlineLevel="0" collapsed="false">
      <c r="A14" s="10"/>
      <c r="B14" s="10"/>
      <c r="C14" s="10"/>
      <c r="D14" s="10"/>
      <c r="E14" s="11"/>
      <c r="F14" s="12"/>
      <c r="G14" s="10"/>
    </row>
    <row r="15" customFormat="false" ht="15" hidden="false" customHeight="false" outlineLevel="0" collapsed="false">
      <c r="A15" s="10"/>
      <c r="B15" s="10"/>
      <c r="C15" s="10"/>
      <c r="D15" s="10"/>
      <c r="E15" s="11"/>
      <c r="F15" s="12"/>
      <c r="G15" s="10"/>
    </row>
    <row r="16" customFormat="false" ht="15" hidden="false" customHeight="false" outlineLevel="0" collapsed="false">
      <c r="A16" s="10"/>
      <c r="B16" s="10"/>
      <c r="C16" s="10"/>
      <c r="D16" s="10"/>
      <c r="E16" s="11"/>
      <c r="F16" s="12"/>
      <c r="G16" s="10"/>
    </row>
    <row r="17" customFormat="false" ht="15" hidden="false" customHeight="false" outlineLevel="0" collapsed="false">
      <c r="A17" s="10"/>
      <c r="B17" s="10"/>
      <c r="C17" s="10"/>
      <c r="D17" s="10"/>
      <c r="E17" s="11"/>
      <c r="F17" s="12"/>
      <c r="G17" s="10"/>
    </row>
    <row r="18" customFormat="false" ht="15" hidden="false" customHeight="false" outlineLevel="0" collapsed="false">
      <c r="A18" s="10"/>
      <c r="B18" s="10"/>
      <c r="C18" s="10"/>
      <c r="D18" s="10"/>
      <c r="E18" s="11"/>
      <c r="F18" s="12"/>
      <c r="G18" s="10"/>
    </row>
    <row r="19" customFormat="false" ht="15" hidden="false" customHeight="false" outlineLevel="0" collapsed="false">
      <c r="A19" s="10"/>
      <c r="B19" s="10"/>
      <c r="C19" s="10"/>
      <c r="D19" s="10"/>
      <c r="E19" s="11"/>
      <c r="F19" s="12"/>
      <c r="G19" s="10"/>
    </row>
    <row r="20" customFormat="false" ht="15" hidden="false" customHeight="false" outlineLevel="0" collapsed="false">
      <c r="A20" s="10"/>
      <c r="B20" s="10"/>
      <c r="C20" s="10"/>
      <c r="D20" s="10"/>
      <c r="E20" s="11"/>
      <c r="F20" s="12"/>
      <c r="G20" s="10"/>
    </row>
    <row r="21" customFormat="false" ht="15" hidden="false" customHeight="false" outlineLevel="0" collapsed="false">
      <c r="A21" s="10"/>
      <c r="B21" s="10"/>
      <c r="C21" s="10"/>
      <c r="D21" s="10"/>
      <c r="E21" s="11"/>
      <c r="F21" s="12"/>
      <c r="G21" s="10"/>
    </row>
    <row r="22" customFormat="false" ht="15" hidden="false" customHeight="false" outlineLevel="0" collapsed="false">
      <c r="A22" s="10"/>
      <c r="B22" s="10"/>
      <c r="C22" s="10"/>
      <c r="D22" s="10"/>
      <c r="E22" s="11"/>
      <c r="F22" s="12"/>
      <c r="G22" s="10"/>
    </row>
    <row r="23" customFormat="false" ht="15" hidden="false" customHeight="false" outlineLevel="0" collapsed="false">
      <c r="A23" s="10"/>
      <c r="B23" s="10"/>
      <c r="C23" s="10"/>
      <c r="D23" s="10"/>
      <c r="E23" s="11"/>
      <c r="F23" s="12"/>
      <c r="G23" s="10"/>
    </row>
    <row r="24" customFormat="false" ht="15" hidden="false" customHeight="false" outlineLevel="0" collapsed="false">
      <c r="A24" s="10"/>
      <c r="B24" s="10"/>
      <c r="C24" s="10"/>
      <c r="D24" s="10"/>
      <c r="E24" s="11"/>
      <c r="F24" s="12"/>
      <c r="G24" s="10"/>
    </row>
    <row r="25" customFormat="false" ht="15" hidden="false" customHeight="false" outlineLevel="0" collapsed="false">
      <c r="A25" s="10"/>
      <c r="B25" s="10"/>
      <c r="C25" s="10"/>
      <c r="D25" s="10"/>
      <c r="E25" s="11"/>
      <c r="F25" s="12"/>
      <c r="G25" s="10"/>
    </row>
    <row r="26" customFormat="false" ht="15" hidden="false" customHeight="false" outlineLevel="0" collapsed="false">
      <c r="A26" s="10"/>
      <c r="B26" s="10"/>
      <c r="C26" s="10"/>
      <c r="D26" s="10"/>
      <c r="E26" s="11"/>
      <c r="F26" s="12"/>
      <c r="G26" s="10"/>
    </row>
    <row r="27" customFormat="false" ht="15" hidden="false" customHeight="false" outlineLevel="0" collapsed="false">
      <c r="A27" s="10"/>
      <c r="B27" s="10"/>
      <c r="C27" s="10"/>
      <c r="D27" s="10"/>
      <c r="E27" s="11"/>
      <c r="F27" s="12"/>
      <c r="G27" s="10"/>
    </row>
    <row r="28" customFormat="false" ht="15" hidden="false" customHeight="false" outlineLevel="0" collapsed="false">
      <c r="A28" s="10"/>
      <c r="B28" s="10"/>
      <c r="C28" s="10"/>
      <c r="D28" s="10"/>
      <c r="E28" s="11"/>
      <c r="F28" s="12"/>
      <c r="G28" s="10"/>
    </row>
    <row r="29" customFormat="false" ht="15" hidden="false" customHeight="false" outlineLevel="0" collapsed="false">
      <c r="A29" s="10"/>
      <c r="B29" s="10"/>
      <c r="C29" s="10"/>
      <c r="D29" s="10"/>
      <c r="E29" s="11"/>
      <c r="F29" s="12"/>
      <c r="G29" s="10"/>
    </row>
    <row r="30" customFormat="false" ht="15" hidden="false" customHeight="false" outlineLevel="0" collapsed="false">
      <c r="A30" s="10"/>
      <c r="B30" s="10"/>
      <c r="C30" s="10"/>
      <c r="D30" s="10"/>
      <c r="E30" s="11"/>
      <c r="F30" s="12"/>
      <c r="G30" s="10"/>
    </row>
    <row r="31" customFormat="false" ht="15" hidden="false" customHeight="false" outlineLevel="0" collapsed="false">
      <c r="A31" s="10"/>
      <c r="B31" s="10"/>
      <c r="C31" s="10"/>
      <c r="D31" s="10"/>
      <c r="E31" s="11"/>
      <c r="F31" s="12"/>
      <c r="G31" s="10"/>
    </row>
    <row r="32" customFormat="false" ht="15" hidden="false" customHeight="false" outlineLevel="0" collapsed="false">
      <c r="A32" s="10"/>
      <c r="B32" s="10"/>
      <c r="C32" s="10"/>
      <c r="D32" s="10"/>
      <c r="E32" s="11"/>
      <c r="F32" s="12"/>
      <c r="G32" s="10"/>
    </row>
    <row r="33" customFormat="false" ht="15" hidden="false" customHeight="false" outlineLevel="0" collapsed="false">
      <c r="A33" s="10"/>
      <c r="B33" s="10"/>
      <c r="C33" s="10"/>
      <c r="D33" s="10"/>
      <c r="E33" s="11"/>
      <c r="F33" s="12"/>
      <c r="G33" s="10"/>
    </row>
    <row r="34" customFormat="false" ht="15" hidden="false" customHeight="false" outlineLevel="0" collapsed="false">
      <c r="A34" s="10"/>
      <c r="B34" s="10"/>
      <c r="C34" s="10"/>
      <c r="D34" s="10"/>
      <c r="E34" s="11"/>
      <c r="F34" s="12"/>
      <c r="G34" s="10"/>
    </row>
    <row r="35" customFormat="false" ht="15" hidden="false" customHeight="false" outlineLevel="0" collapsed="false">
      <c r="A35" s="10"/>
      <c r="B35" s="10"/>
      <c r="C35" s="10"/>
      <c r="D35" s="10"/>
      <c r="E35" s="11"/>
      <c r="F35" s="12"/>
      <c r="G35" s="10"/>
    </row>
    <row r="36" customFormat="false" ht="15" hidden="false" customHeight="false" outlineLevel="0" collapsed="false">
      <c r="A36" s="10"/>
      <c r="B36" s="10"/>
      <c r="C36" s="10"/>
      <c r="D36" s="10"/>
      <c r="E36" s="11"/>
      <c r="F36" s="12"/>
      <c r="G36" s="10"/>
    </row>
    <row r="37" customFormat="false" ht="15" hidden="false" customHeight="false" outlineLevel="0" collapsed="false">
      <c r="A37" s="10"/>
      <c r="B37" s="10"/>
      <c r="C37" s="10"/>
      <c r="D37" s="10"/>
      <c r="E37" s="11"/>
      <c r="F37" s="12"/>
      <c r="G37" s="10"/>
    </row>
    <row r="38" customFormat="false" ht="15" hidden="false" customHeight="false" outlineLevel="0" collapsed="false">
      <c r="A38" s="10"/>
      <c r="B38" s="10"/>
      <c r="C38" s="10"/>
      <c r="D38" s="10"/>
      <c r="E38" s="11"/>
      <c r="F38" s="12"/>
      <c r="G38" s="10"/>
    </row>
    <row r="39" customFormat="false" ht="15" hidden="false" customHeight="false" outlineLevel="0" collapsed="false">
      <c r="A39" s="10"/>
      <c r="B39" s="10"/>
      <c r="C39" s="10"/>
      <c r="D39" s="10"/>
      <c r="E39" s="11"/>
      <c r="F39" s="12"/>
      <c r="G39" s="10"/>
    </row>
    <row r="40" customFormat="false" ht="15" hidden="false" customHeight="false" outlineLevel="0" collapsed="false">
      <c r="A40" s="10"/>
      <c r="B40" s="10"/>
      <c r="C40" s="10"/>
      <c r="D40" s="10"/>
      <c r="E40" s="11"/>
      <c r="F40" s="12"/>
      <c r="G40" s="10"/>
    </row>
    <row r="41" customFormat="false" ht="15" hidden="false" customHeight="false" outlineLevel="0" collapsed="false">
      <c r="A41" s="10"/>
      <c r="B41" s="10"/>
      <c r="C41" s="10"/>
      <c r="D41" s="10"/>
      <c r="E41" s="11"/>
      <c r="F41" s="12"/>
      <c r="G41" s="10"/>
    </row>
    <row r="42" customFormat="false" ht="15" hidden="false" customHeight="false" outlineLevel="0" collapsed="false">
      <c r="A42" s="10"/>
      <c r="B42" s="10"/>
      <c r="C42" s="10"/>
      <c r="D42" s="10"/>
      <c r="E42" s="11"/>
      <c r="F42" s="12"/>
      <c r="G42" s="10"/>
    </row>
    <row r="43" customFormat="false" ht="15" hidden="false" customHeight="false" outlineLevel="0" collapsed="false">
      <c r="A43" s="10"/>
      <c r="B43" s="10"/>
      <c r="C43" s="10"/>
      <c r="D43" s="10"/>
      <c r="E43" s="11"/>
      <c r="F43" s="12"/>
      <c r="G43" s="10"/>
    </row>
    <row r="44" customFormat="false" ht="15" hidden="false" customHeight="false" outlineLevel="0" collapsed="false">
      <c r="A44" s="10"/>
      <c r="B44" s="10"/>
      <c r="C44" s="10"/>
      <c r="D44" s="10"/>
      <c r="E44" s="11"/>
      <c r="F44" s="12"/>
      <c r="G44" s="10"/>
    </row>
    <row r="45" customFormat="false" ht="15" hidden="false" customHeight="false" outlineLevel="0" collapsed="false">
      <c r="A45" s="10"/>
      <c r="B45" s="10"/>
      <c r="C45" s="10"/>
      <c r="D45" s="10"/>
      <c r="E45" s="11"/>
      <c r="F45" s="12"/>
      <c r="G45" s="10"/>
    </row>
    <row r="46" customFormat="false" ht="15" hidden="false" customHeight="false" outlineLevel="0" collapsed="false">
      <c r="A46" s="10"/>
      <c r="B46" s="10"/>
      <c r="C46" s="10"/>
      <c r="D46" s="10"/>
      <c r="E46" s="11"/>
      <c r="F46" s="12"/>
      <c r="G46" s="10"/>
    </row>
    <row r="47" customFormat="false" ht="15" hidden="false" customHeight="false" outlineLevel="0" collapsed="false">
      <c r="A47" s="10"/>
      <c r="B47" s="10"/>
      <c r="C47" s="10"/>
      <c r="D47" s="10"/>
      <c r="E47" s="11"/>
      <c r="F47" s="12"/>
      <c r="G47" s="10"/>
    </row>
    <row r="48" customFormat="false" ht="15" hidden="false" customHeight="false" outlineLevel="0" collapsed="false">
      <c r="A48" s="10"/>
      <c r="B48" s="10"/>
      <c r="C48" s="10"/>
      <c r="D48" s="10"/>
      <c r="E48" s="11"/>
      <c r="F48" s="12"/>
      <c r="G48" s="10"/>
    </row>
    <row r="49" customFormat="false" ht="15" hidden="false" customHeight="false" outlineLevel="0" collapsed="false">
      <c r="A49" s="10"/>
      <c r="B49" s="10"/>
      <c r="C49" s="10"/>
      <c r="D49" s="10"/>
      <c r="E49" s="11"/>
      <c r="F49" s="12"/>
      <c r="G49" s="10"/>
    </row>
    <row r="50" customFormat="false" ht="15" hidden="false" customHeight="false" outlineLevel="0" collapsed="false">
      <c r="A50" s="10"/>
      <c r="B50" s="10"/>
      <c r="C50" s="10"/>
      <c r="D50" s="10"/>
      <c r="E50" s="11"/>
      <c r="F50" s="12"/>
      <c r="G50" s="10"/>
    </row>
    <row r="51" customFormat="false" ht="15" hidden="false" customHeight="false" outlineLevel="0" collapsed="false">
      <c r="A51" s="10"/>
      <c r="B51" s="10"/>
      <c r="C51" s="10"/>
      <c r="D51" s="10"/>
      <c r="E51" s="11"/>
      <c r="F51" s="12"/>
      <c r="G51" s="10"/>
    </row>
    <row r="52" customFormat="false" ht="15" hidden="false" customHeight="false" outlineLevel="0" collapsed="false">
      <c r="A52" s="10"/>
      <c r="B52" s="10"/>
      <c r="C52" s="10"/>
      <c r="D52" s="10"/>
      <c r="E52" s="11"/>
      <c r="F52" s="12"/>
      <c r="G52" s="10"/>
    </row>
    <row r="53" customFormat="false" ht="15" hidden="false" customHeight="false" outlineLevel="0" collapsed="false">
      <c r="A53" s="10"/>
      <c r="B53" s="10"/>
      <c r="C53" s="10"/>
      <c r="D53" s="10"/>
      <c r="E53" s="11"/>
      <c r="F53" s="12"/>
      <c r="G53" s="10"/>
    </row>
    <row r="54" customFormat="false" ht="15" hidden="false" customHeight="false" outlineLevel="0" collapsed="false">
      <c r="A54" s="10"/>
      <c r="B54" s="10"/>
      <c r="C54" s="10"/>
      <c r="D54" s="10"/>
      <c r="E54" s="11"/>
      <c r="F54" s="12"/>
      <c r="G54" s="10"/>
    </row>
    <row r="55" customFormat="false" ht="15" hidden="false" customHeight="false" outlineLevel="0" collapsed="false">
      <c r="A55" s="10"/>
      <c r="B55" s="10"/>
      <c r="C55" s="10"/>
      <c r="D55" s="10"/>
      <c r="E55" s="11"/>
      <c r="F55" s="12"/>
      <c r="G55" s="10"/>
    </row>
    <row r="56" customFormat="false" ht="15" hidden="false" customHeight="false" outlineLevel="0" collapsed="false">
      <c r="A56" s="10"/>
      <c r="B56" s="10"/>
      <c r="C56" s="10"/>
      <c r="D56" s="10"/>
      <c r="E56" s="11"/>
      <c r="F56" s="12"/>
      <c r="G56" s="10"/>
    </row>
    <row r="57" customFormat="false" ht="15" hidden="false" customHeight="false" outlineLevel="0" collapsed="false">
      <c r="A57" s="10"/>
      <c r="B57" s="10"/>
      <c r="C57" s="10"/>
      <c r="D57" s="10"/>
      <c r="E57" s="11"/>
      <c r="F57" s="12"/>
      <c r="G57" s="10"/>
    </row>
    <row r="58" customFormat="false" ht="15" hidden="false" customHeight="false" outlineLevel="0" collapsed="false">
      <c r="A58" s="10"/>
      <c r="B58" s="10"/>
      <c r="C58" s="10"/>
      <c r="D58" s="10"/>
      <c r="E58" s="11"/>
      <c r="F58" s="12"/>
      <c r="G58" s="10"/>
    </row>
    <row r="59" customFormat="false" ht="15" hidden="false" customHeight="false" outlineLevel="0" collapsed="false">
      <c r="A59" s="10"/>
      <c r="B59" s="10"/>
      <c r="C59" s="10"/>
      <c r="D59" s="10"/>
      <c r="E59" s="11"/>
      <c r="F59" s="12"/>
      <c r="G59" s="10"/>
    </row>
    <row r="60" customFormat="false" ht="15" hidden="false" customHeight="false" outlineLevel="0" collapsed="false">
      <c r="A60" s="10"/>
      <c r="B60" s="10"/>
      <c r="C60" s="10"/>
      <c r="D60" s="10"/>
      <c r="E60" s="11"/>
      <c r="F60" s="12"/>
      <c r="G60" s="10"/>
    </row>
    <row r="61" customFormat="false" ht="15" hidden="false" customHeight="false" outlineLevel="0" collapsed="false">
      <c r="A61" s="10"/>
      <c r="B61" s="10"/>
      <c r="C61" s="10"/>
      <c r="D61" s="10"/>
      <c r="E61" s="11"/>
      <c r="F61" s="12"/>
      <c r="G61" s="10"/>
    </row>
    <row r="62" customFormat="false" ht="15" hidden="false" customHeight="false" outlineLevel="0" collapsed="false">
      <c r="A62" s="10"/>
      <c r="B62" s="10"/>
      <c r="C62" s="10"/>
      <c r="D62" s="10"/>
      <c r="E62" s="11"/>
      <c r="F62" s="12"/>
      <c r="G62" s="10"/>
    </row>
    <row r="63" customFormat="false" ht="15" hidden="false" customHeight="false" outlineLevel="0" collapsed="false">
      <c r="A63" s="10"/>
      <c r="B63" s="10"/>
      <c r="C63" s="10"/>
      <c r="D63" s="10"/>
      <c r="E63" s="11"/>
      <c r="F63" s="12"/>
      <c r="G63" s="10"/>
    </row>
    <row r="64" customFormat="false" ht="15" hidden="false" customHeight="false" outlineLevel="0" collapsed="false">
      <c r="A64" s="10"/>
      <c r="B64" s="10"/>
      <c r="C64" s="10"/>
      <c r="D64" s="10"/>
      <c r="E64" s="11"/>
      <c r="F64" s="12"/>
      <c r="G64" s="10"/>
    </row>
    <row r="65" customFormat="false" ht="15" hidden="false" customHeight="false" outlineLevel="0" collapsed="false">
      <c r="A65" s="10"/>
      <c r="B65" s="10"/>
      <c r="C65" s="10"/>
      <c r="D65" s="10"/>
      <c r="E65" s="11"/>
      <c r="F65" s="12"/>
      <c r="G65" s="10"/>
    </row>
    <row r="66" customFormat="false" ht="15" hidden="false" customHeight="false" outlineLevel="0" collapsed="false">
      <c r="A66" s="10"/>
      <c r="B66" s="10"/>
      <c r="C66" s="10"/>
      <c r="D66" s="10"/>
      <c r="E66" s="11"/>
      <c r="F66" s="12"/>
      <c r="G66" s="10"/>
    </row>
    <row r="67" customFormat="false" ht="15" hidden="false" customHeight="false" outlineLevel="0" collapsed="false">
      <c r="A67" s="10"/>
      <c r="B67" s="10"/>
      <c r="C67" s="10"/>
      <c r="D67" s="10"/>
      <c r="E67" s="11"/>
      <c r="F67" s="12"/>
      <c r="G67" s="10"/>
    </row>
    <row r="68" customFormat="false" ht="15" hidden="false" customHeight="false" outlineLevel="0" collapsed="false">
      <c r="A68" s="10"/>
      <c r="B68" s="10"/>
      <c r="C68" s="10"/>
      <c r="D68" s="10"/>
      <c r="E68" s="11"/>
      <c r="F68" s="12"/>
      <c r="G68" s="10"/>
    </row>
    <row r="69" customFormat="false" ht="15" hidden="false" customHeight="false" outlineLevel="0" collapsed="false">
      <c r="A69" s="10"/>
      <c r="B69" s="10"/>
      <c r="C69" s="10"/>
      <c r="D69" s="10"/>
      <c r="E69" s="11"/>
      <c r="F69" s="12"/>
      <c r="G69" s="10"/>
    </row>
    <row r="70" customFormat="false" ht="15" hidden="false" customHeight="false" outlineLevel="0" collapsed="false">
      <c r="A70" s="10"/>
      <c r="B70" s="10"/>
      <c r="C70" s="10"/>
      <c r="D70" s="10"/>
      <c r="E70" s="11"/>
      <c r="F70" s="12"/>
      <c r="G70" s="10"/>
    </row>
    <row r="71" customFormat="false" ht="15" hidden="false" customHeight="false" outlineLevel="0" collapsed="false">
      <c r="A71" s="10"/>
      <c r="B71" s="10"/>
      <c r="C71" s="10"/>
      <c r="D71" s="10"/>
      <c r="E71" s="11"/>
      <c r="F71" s="12"/>
      <c r="G71" s="10"/>
    </row>
    <row r="72" customFormat="false" ht="15" hidden="false" customHeight="false" outlineLevel="0" collapsed="false">
      <c r="A72" s="10"/>
      <c r="B72" s="10"/>
      <c r="C72" s="10"/>
      <c r="D72" s="10"/>
      <c r="E72" s="11"/>
      <c r="F72" s="12"/>
      <c r="G72" s="10"/>
    </row>
    <row r="73" customFormat="false" ht="15" hidden="false" customHeight="false" outlineLevel="0" collapsed="false">
      <c r="A73" s="10"/>
      <c r="B73" s="10"/>
      <c r="C73" s="10"/>
      <c r="D73" s="10"/>
      <c r="E73" s="11"/>
      <c r="F73" s="12"/>
      <c r="G73" s="10"/>
    </row>
    <row r="74" customFormat="false" ht="15" hidden="false" customHeight="false" outlineLevel="0" collapsed="false">
      <c r="A74" s="10"/>
      <c r="B74" s="10"/>
      <c r="C74" s="10"/>
      <c r="D74" s="10"/>
      <c r="E74" s="11"/>
      <c r="F74" s="12"/>
      <c r="G74" s="10"/>
    </row>
    <row r="75" customFormat="false" ht="15" hidden="false" customHeight="false" outlineLevel="0" collapsed="false">
      <c r="A75" s="10"/>
      <c r="B75" s="10"/>
      <c r="C75" s="10"/>
      <c r="D75" s="10"/>
      <c r="E75" s="11"/>
      <c r="F75" s="12"/>
      <c r="G75" s="10"/>
    </row>
    <row r="76" customFormat="false" ht="15" hidden="false" customHeight="false" outlineLevel="0" collapsed="false">
      <c r="A76" s="10"/>
      <c r="B76" s="10"/>
      <c r="C76" s="10"/>
      <c r="D76" s="10"/>
      <c r="E76" s="11"/>
      <c r="F76" s="12"/>
      <c r="G76" s="10"/>
    </row>
    <row r="77" customFormat="false" ht="15" hidden="false" customHeight="false" outlineLevel="0" collapsed="false">
      <c r="A77" s="10"/>
      <c r="B77" s="10"/>
      <c r="C77" s="10"/>
      <c r="D77" s="10"/>
      <c r="E77" s="11"/>
      <c r="F77" s="12"/>
      <c r="G77" s="10"/>
    </row>
    <row r="78" customFormat="false" ht="15" hidden="false" customHeight="false" outlineLevel="0" collapsed="false">
      <c r="A78" s="10"/>
      <c r="B78" s="10"/>
      <c r="C78" s="10"/>
      <c r="D78" s="10"/>
      <c r="E78" s="11"/>
      <c r="F78" s="12"/>
      <c r="G78" s="10"/>
    </row>
    <row r="79" customFormat="false" ht="15" hidden="false" customHeight="false" outlineLevel="0" collapsed="false">
      <c r="A79" s="10"/>
      <c r="B79" s="10"/>
      <c r="C79" s="10"/>
      <c r="D79" s="10"/>
      <c r="E79" s="11"/>
      <c r="F79" s="12"/>
      <c r="G79" s="10"/>
    </row>
    <row r="80" customFormat="false" ht="15" hidden="false" customHeight="false" outlineLevel="0" collapsed="false">
      <c r="A80" s="10"/>
      <c r="B80" s="10"/>
      <c r="C80" s="10"/>
      <c r="D80" s="10"/>
      <c r="E80" s="11"/>
      <c r="F80" s="12"/>
      <c r="G80" s="10"/>
    </row>
    <row r="81" customFormat="false" ht="15" hidden="false" customHeight="false" outlineLevel="0" collapsed="false">
      <c r="A81" s="10"/>
      <c r="B81" s="10"/>
      <c r="C81" s="10"/>
      <c r="D81" s="10"/>
      <c r="E81" s="11"/>
      <c r="F81" s="12"/>
      <c r="G81" s="10"/>
    </row>
    <row r="82" customFormat="false" ht="15" hidden="false" customHeight="false" outlineLevel="0" collapsed="false">
      <c r="A82" s="10"/>
      <c r="B82" s="10"/>
      <c r="C82" s="10"/>
      <c r="D82" s="10"/>
      <c r="E82" s="11"/>
      <c r="F82" s="12"/>
      <c r="G82" s="10"/>
    </row>
    <row r="83" customFormat="false" ht="15" hidden="false" customHeight="false" outlineLevel="0" collapsed="false">
      <c r="A83" s="10"/>
      <c r="B83" s="10"/>
      <c r="C83" s="10"/>
      <c r="D83" s="10"/>
      <c r="E83" s="11"/>
      <c r="F83" s="12"/>
      <c r="G83" s="10"/>
    </row>
    <row r="84" customFormat="false" ht="15" hidden="false" customHeight="false" outlineLevel="0" collapsed="false">
      <c r="A84" s="10"/>
      <c r="B84" s="10"/>
      <c r="C84" s="10"/>
      <c r="D84" s="10"/>
      <c r="E84" s="11"/>
      <c r="F84" s="12"/>
      <c r="G84" s="10"/>
    </row>
    <row r="85" customFormat="false" ht="15" hidden="false" customHeight="false" outlineLevel="0" collapsed="false">
      <c r="A85" s="10"/>
      <c r="B85" s="10"/>
      <c r="C85" s="10"/>
      <c r="D85" s="10"/>
      <c r="E85" s="11"/>
      <c r="F85" s="12"/>
      <c r="G85" s="10"/>
    </row>
    <row r="86" customFormat="false" ht="15" hidden="false" customHeight="false" outlineLevel="0" collapsed="false">
      <c r="A86" s="10"/>
      <c r="B86" s="10"/>
      <c r="C86" s="10"/>
      <c r="D86" s="10"/>
      <c r="E86" s="11"/>
      <c r="F86" s="12"/>
      <c r="G86" s="10"/>
    </row>
    <row r="87" customFormat="false" ht="15" hidden="false" customHeight="false" outlineLevel="0" collapsed="false">
      <c r="A87" s="10"/>
      <c r="B87" s="10"/>
      <c r="C87" s="10"/>
      <c r="D87" s="10"/>
      <c r="E87" s="11"/>
      <c r="F87" s="12"/>
      <c r="G87" s="10"/>
    </row>
    <row r="88" customFormat="false" ht="15" hidden="false" customHeight="false" outlineLevel="0" collapsed="false">
      <c r="A88" s="10"/>
      <c r="B88" s="10"/>
      <c r="C88" s="10"/>
      <c r="D88" s="10"/>
      <c r="E88" s="11"/>
      <c r="F88" s="12"/>
      <c r="G88" s="10"/>
    </row>
    <row r="89" customFormat="false" ht="15" hidden="false" customHeight="false" outlineLevel="0" collapsed="false">
      <c r="A89" s="10"/>
      <c r="B89" s="10"/>
      <c r="C89" s="10"/>
      <c r="D89" s="10"/>
      <c r="E89" s="11"/>
      <c r="F89" s="12"/>
      <c r="G89" s="10"/>
    </row>
    <row r="90" customFormat="false" ht="15" hidden="false" customHeight="false" outlineLevel="0" collapsed="false">
      <c r="A90" s="10"/>
      <c r="B90" s="10"/>
      <c r="C90" s="10"/>
      <c r="D90" s="10"/>
      <c r="E90" s="11"/>
      <c r="F90" s="12"/>
      <c r="G90" s="10"/>
    </row>
    <row r="91" customFormat="false" ht="15" hidden="false" customHeight="false" outlineLevel="0" collapsed="false">
      <c r="A91" s="10"/>
      <c r="B91" s="10"/>
      <c r="C91" s="10"/>
      <c r="D91" s="10"/>
      <c r="E91" s="11"/>
      <c r="F91" s="12"/>
      <c r="G91" s="10"/>
    </row>
    <row r="92" customFormat="false" ht="15" hidden="false" customHeight="false" outlineLevel="0" collapsed="false">
      <c r="A92" s="10"/>
      <c r="B92" s="10"/>
      <c r="C92" s="10"/>
      <c r="D92" s="10"/>
      <c r="E92" s="11"/>
      <c r="F92" s="12"/>
      <c r="G92" s="10"/>
    </row>
    <row r="93" customFormat="false" ht="15" hidden="false" customHeight="false" outlineLevel="0" collapsed="false">
      <c r="A93" s="10"/>
      <c r="B93" s="10"/>
      <c r="C93" s="10"/>
      <c r="D93" s="10"/>
      <c r="E93" s="11"/>
      <c r="F93" s="12"/>
      <c r="G93" s="10"/>
    </row>
    <row r="94" customFormat="false" ht="15" hidden="false" customHeight="false" outlineLevel="0" collapsed="false">
      <c r="A94" s="10"/>
      <c r="B94" s="10"/>
      <c r="C94" s="10"/>
      <c r="D94" s="10"/>
      <c r="E94" s="11"/>
      <c r="F94" s="12"/>
      <c r="G94" s="10"/>
    </row>
    <row r="95" customFormat="false" ht="15" hidden="false" customHeight="false" outlineLevel="0" collapsed="false">
      <c r="A95" s="10"/>
      <c r="B95" s="10"/>
      <c r="C95" s="10"/>
      <c r="D95" s="10"/>
      <c r="E95" s="11"/>
      <c r="F95" s="12"/>
      <c r="G95" s="10"/>
    </row>
    <row r="96" customFormat="false" ht="15" hidden="false" customHeight="false" outlineLevel="0" collapsed="false">
      <c r="A96" s="10"/>
      <c r="B96" s="10"/>
      <c r="C96" s="10"/>
      <c r="D96" s="10"/>
      <c r="E96" s="11"/>
      <c r="F96" s="12"/>
      <c r="G96" s="10"/>
    </row>
    <row r="97" customFormat="false" ht="15" hidden="false" customHeight="false" outlineLevel="0" collapsed="false">
      <c r="A97" s="10"/>
      <c r="B97" s="10"/>
      <c r="C97" s="10"/>
      <c r="D97" s="10"/>
      <c r="E97" s="11"/>
      <c r="F97" s="12"/>
      <c r="G97" s="10"/>
    </row>
    <row r="98" customFormat="false" ht="15" hidden="false" customHeight="false" outlineLevel="0" collapsed="false">
      <c r="A98" s="10"/>
      <c r="B98" s="10"/>
      <c r="C98" s="10"/>
      <c r="D98" s="10"/>
      <c r="E98" s="11"/>
      <c r="F98" s="12"/>
      <c r="G98" s="10"/>
    </row>
    <row r="99" customFormat="false" ht="15" hidden="false" customHeight="false" outlineLevel="0" collapsed="false">
      <c r="A99" s="10"/>
      <c r="B99" s="10"/>
      <c r="C99" s="10"/>
      <c r="D99" s="10"/>
      <c r="E99" s="11"/>
      <c r="F99" s="12"/>
      <c r="G99" s="10"/>
    </row>
    <row r="100" customFormat="false" ht="15" hidden="false" customHeight="false" outlineLevel="0" collapsed="false">
      <c r="A100" s="10"/>
      <c r="B100" s="10"/>
      <c r="C100" s="10"/>
      <c r="D100" s="10"/>
      <c r="E100" s="11"/>
      <c r="F100" s="12"/>
      <c r="G100" s="10"/>
    </row>
  </sheetData>
  <dataValidations count="2">
    <dataValidation allowBlank="true" error="Choose a Category from the Lists sheet." errorStyle="stop" operator="between" showDropDown="false" showErrorMessage="false" showInputMessage="false" sqref="C2:C100" type="list">
      <formula1>Lists!$A$2:$A$6</formula1>
      <formula2>0</formula2>
    </dataValidation>
    <dataValidation allowBlank="true" error="Choose a Status from the Lists sheet." errorStyle="stop" operator="between" showDropDown="false" showErrorMessage="false" showInputMessage="false" sqref="G2:G100" type="list">
      <formula1>Lists!$B$2:$B$5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3" t="s">
        <v>31</v>
      </c>
      <c r="B1" s="13" t="s">
        <v>35</v>
      </c>
    </row>
    <row r="2" customFormat="false" ht="15" hidden="false" customHeight="false" outlineLevel="0" collapsed="false">
      <c r="A2" s="14" t="s">
        <v>38</v>
      </c>
      <c r="B2" s="14" t="s">
        <v>40</v>
      </c>
    </row>
    <row r="3" customFormat="false" ht="15" hidden="false" customHeight="false" outlineLevel="0" collapsed="false">
      <c r="A3" s="14" t="s">
        <v>43</v>
      </c>
      <c r="B3" s="14" t="s">
        <v>48</v>
      </c>
    </row>
    <row r="4" customFormat="false" ht="15" hidden="false" customHeight="false" outlineLevel="0" collapsed="false">
      <c r="A4" s="14" t="s">
        <v>46</v>
      </c>
      <c r="B4" s="14" t="s">
        <v>53</v>
      </c>
    </row>
    <row r="5" customFormat="false" ht="15" hidden="false" customHeight="false" outlineLevel="0" collapsed="false">
      <c r="A5" s="14" t="s">
        <v>51</v>
      </c>
      <c r="B5" s="14" t="s">
        <v>61</v>
      </c>
    </row>
    <row r="6" customFormat="false" ht="15" hidden="false" customHeight="false" outlineLevel="0" collapsed="false">
      <c r="A6" s="14" t="s">
        <v>56</v>
      </c>
    </row>
    <row r="9" customFormat="false" ht="15" hidden="false" customHeight="false" outlineLevel="0" collapsed="false">
      <c r="A9" s="15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63</v>
      </c>
    </row>
    <row r="3" customFormat="false" ht="15" hidden="false" customHeight="false" outlineLevel="0" collapsed="false">
      <c r="A3" s="13" t="s">
        <v>64</v>
      </c>
      <c r="B3" s="13" t="s">
        <v>65</v>
      </c>
      <c r="C3" s="13" t="s">
        <v>66</v>
      </c>
      <c r="D3" s="13" t="s">
        <v>35</v>
      </c>
    </row>
    <row r="4" customFormat="false" ht="15" hidden="false" customHeight="false" outlineLevel="0" collapsed="false">
      <c r="A4" s="14" t="s">
        <v>67</v>
      </c>
      <c r="B4" s="14" t="n">
        <f aca="false">COUNTA(Insert_Data!A2:A100)</f>
        <v>6</v>
      </c>
      <c r="C4" s="10" t="n">
        <v>6</v>
      </c>
      <c r="D4" s="14" t="str">
        <f aca="false">IF(B4=C4,"OK","CHECK")</f>
        <v>OK</v>
      </c>
    </row>
    <row r="5" customFormat="false" ht="15" hidden="false" customHeight="false" outlineLevel="0" collapsed="false">
      <c r="A5" s="14" t="s">
        <v>68</v>
      </c>
      <c r="B5" s="14" t="n">
        <f aca="false">SUMPRODUCT((Insert_Data!A2:A100="")*(Insert_Data!B2:B100&lt;&gt;""))</f>
        <v>0</v>
      </c>
      <c r="C5" s="10" t="n">
        <v>0</v>
      </c>
      <c r="D5" s="14" t="str">
        <f aca="false">IF(B5=C5,"OK","CHECK")</f>
        <v>OK</v>
      </c>
    </row>
    <row r="6" customFormat="false" ht="15" hidden="false" customHeight="false" outlineLevel="0" collapsed="false">
      <c r="A6" s="14" t="s">
        <v>69</v>
      </c>
      <c r="B6" s="14" t="n">
        <f aca="false">SUMPRODUCT((Insert_Data!A2:A100&lt;&gt;"")*(COUNTIF(Insert_Data!A2:A100,Insert_Data!A2:A100)&gt;1))</f>
        <v>0</v>
      </c>
      <c r="C6" s="10" t="n">
        <v>0</v>
      </c>
      <c r="D6" s="14" t="str">
        <f aca="false">IF(B6=C6,"OK","CHECK")</f>
        <v>OK</v>
      </c>
    </row>
    <row r="7" customFormat="false" ht="15" hidden="false" customHeight="false" outlineLevel="0" collapsed="false">
      <c r="A7" s="14" t="s">
        <v>70</v>
      </c>
      <c r="B7" s="14" t="n">
        <f aca="false">SUMPRODUCT((Insert_Data!A2:A100&lt;&gt;"")*(LEN(Insert_Data!A2:A100)&lt;&gt;LEN(TRIM(Insert_Data!A2:A100))))</f>
        <v>0</v>
      </c>
      <c r="C7" s="10" t="n">
        <v>0</v>
      </c>
      <c r="D7" s="14" t="str">
        <f aca="false">IF(B7=C7,"OK","CHECK")</f>
        <v>OK</v>
      </c>
    </row>
    <row r="8" customFormat="false" ht="15" hidden="false" customHeight="false" outlineLevel="0" collapsed="false">
      <c r="A8" s="14" t="s">
        <v>71</v>
      </c>
      <c r="B8" s="14" t="n">
        <f aca="false">SUMPRODUCT((Insert_Data!C2:C100&lt;&gt;"")*(COUNTIF(Lists!A2:A6,Insert_Data!C2:C100)=0))</f>
        <v>0</v>
      </c>
      <c r="C8" s="10" t="n">
        <v>0</v>
      </c>
      <c r="D8" s="14" t="str">
        <f aca="false">IF(B8=C8,"OK","CHECK")</f>
        <v>OK</v>
      </c>
    </row>
    <row r="9" customFormat="false" ht="15" hidden="false" customHeight="false" outlineLevel="0" collapsed="false">
      <c r="A9" s="14" t="s">
        <v>72</v>
      </c>
      <c r="B9" s="14" t="n">
        <f aca="false">SUMPRODUCT((Insert_Data!G2:G100&lt;&gt;"")*(COUNTIF(Lists!B2:B5,Insert_Data!G2:G100)=0))</f>
        <v>0</v>
      </c>
      <c r="C9" s="10" t="n">
        <v>0</v>
      </c>
      <c r="D9" s="14" t="str">
        <f aca="false">IF(B9=C9,"OK","CHECK")</f>
        <v>OK</v>
      </c>
    </row>
    <row r="10" customFormat="false" ht="15" hidden="false" customHeight="false" outlineLevel="0" collapsed="false">
      <c r="A10" s="14" t="s">
        <v>73</v>
      </c>
      <c r="B10" s="14" t="n">
        <f aca="false">SUMPRODUCT((Insert_Data!B2:B100&lt;&gt;"")*(Insert_Data!E2:E100=""))</f>
        <v>0</v>
      </c>
      <c r="C10" s="10" t="n">
        <v>0</v>
      </c>
      <c r="D10" s="14" t="str">
        <f aca="false">IF(B10=C10,"OK","CHECK")</f>
        <v>OK</v>
      </c>
    </row>
    <row r="11" customFormat="false" ht="15" hidden="false" customHeight="false" outlineLevel="0" collapsed="false">
      <c r="A11" s="14" t="s">
        <v>74</v>
      </c>
      <c r="B11" s="16" t="n">
        <f aca="false">SUM(Insert_Data!F2:F100)</f>
        <v>234600</v>
      </c>
      <c r="C11" s="14" t="s">
        <v>75</v>
      </c>
      <c r="D11" s="14" t="s">
        <v>76</v>
      </c>
    </row>
    <row r="13" customFormat="false" ht="15" hidden="false" customHeight="false" outlineLevel="0" collapsed="false">
      <c r="A13" s="17" t="s">
        <v>77</v>
      </c>
      <c r="D13" s="17" t="str">
        <f aca="false">IF(COUNTIF(D4:D10,"CHECK")=0,"READY TO IMPORT","FIX ISSUES FIRST")</f>
        <v>READY TO IMPORT</v>
      </c>
    </row>
    <row r="15" customFormat="false" ht="15" hidden="false" customHeight="false" outlineLevel="0" collapsed="false">
      <c r="A15" s="15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2026-10-13T15:46:14Z</dcterms:created>
  <dc:creator>openpyxl</dc:creator>
  <dc:description/>
  <dc:language>en-US</dc:language>
  <cp:lastModifiedBy/>
  <dcterms:modified xsi:type="dcterms:W3CDTF">2026-10-13T15:46:15Z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